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55879E8C-E112-4877-AD1C-FA6CCF0DE7A1}" xr6:coauthVersionLast="47" xr6:coauthVersionMax="47" xr10:uidLastSave="{00000000-0000-0000-0000-000000000000}"/>
  <bookViews>
    <workbookView xWindow="-114" yWindow="-114" windowWidth="27602" windowHeight="15027" xr2:uid="{00000000-000D-0000-FFFF-FFFF00000000}"/>
  </bookViews>
  <sheets>
    <sheet name="VPS" sheetId="1" r:id="rId1"/>
    <sheet name="Hosting" sheetId="2" r:id="rId2"/>
    <sheet name="Emai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B31" i="2"/>
  <c r="B30" i="2"/>
  <c r="B22" i="2"/>
  <c r="B21" i="2"/>
  <c r="B33" i="3"/>
  <c r="B32" i="3"/>
  <c r="B31" i="3"/>
  <c r="B30" i="3"/>
  <c r="E33" i="3"/>
  <c r="D33" i="3"/>
  <c r="C33" i="3"/>
  <c r="E32" i="3"/>
  <c r="D32" i="3"/>
  <c r="C32" i="3"/>
  <c r="E31" i="3"/>
  <c r="D31" i="3"/>
  <c r="C31" i="3"/>
  <c r="E30" i="3"/>
  <c r="D30" i="3"/>
  <c r="C30" i="3"/>
  <c r="C21" i="3"/>
  <c r="D21" i="3"/>
  <c r="E21" i="3"/>
  <c r="B21" i="3"/>
  <c r="C20" i="3"/>
  <c r="D20" i="3"/>
  <c r="E20" i="3"/>
  <c r="B20" i="3"/>
  <c r="C19" i="3"/>
  <c r="D19" i="3"/>
  <c r="E19" i="3"/>
  <c r="B19" i="3"/>
  <c r="C18" i="3"/>
  <c r="D18" i="3"/>
  <c r="E18" i="3"/>
  <c r="B18" i="3"/>
  <c r="C9" i="3"/>
  <c r="D9" i="3"/>
  <c r="E9" i="3"/>
  <c r="B9" i="3"/>
  <c r="C8" i="3"/>
  <c r="D8" i="3"/>
  <c r="E8" i="3"/>
  <c r="B8" i="3"/>
  <c r="C7" i="3"/>
  <c r="D7" i="3"/>
  <c r="E7" i="3"/>
  <c r="B7" i="3"/>
  <c r="C6" i="3"/>
  <c r="D6" i="3"/>
  <c r="E6" i="3"/>
  <c r="B6" i="3"/>
  <c r="C31" i="2"/>
  <c r="C32" i="2"/>
  <c r="D32" i="2"/>
  <c r="E32" i="2"/>
  <c r="F32" i="2"/>
  <c r="G32" i="2"/>
  <c r="H32" i="2"/>
  <c r="I32" i="2"/>
  <c r="D31" i="2"/>
  <c r="E31" i="2"/>
  <c r="F31" i="2"/>
  <c r="G31" i="2"/>
  <c r="H31" i="2"/>
  <c r="I31" i="2"/>
  <c r="C30" i="2"/>
  <c r="D30" i="2"/>
  <c r="E30" i="2"/>
  <c r="F30" i="2"/>
  <c r="G30" i="2"/>
  <c r="H30" i="2"/>
  <c r="I30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I21" i="2"/>
  <c r="H21" i="2"/>
  <c r="G21" i="2"/>
  <c r="F21" i="2"/>
  <c r="E21" i="2"/>
  <c r="D21" i="2"/>
  <c r="C21" i="2"/>
  <c r="I20" i="2"/>
  <c r="H20" i="2"/>
  <c r="G20" i="2"/>
  <c r="F20" i="2"/>
  <c r="E20" i="2"/>
  <c r="D20" i="2"/>
  <c r="C20" i="2"/>
  <c r="B20" i="2"/>
  <c r="C13" i="2"/>
  <c r="D13" i="2"/>
  <c r="E13" i="2"/>
  <c r="F13" i="2"/>
  <c r="G13" i="2"/>
  <c r="H13" i="2"/>
  <c r="I13" i="2"/>
  <c r="B13" i="2"/>
  <c r="C12" i="2"/>
  <c r="D12" i="2"/>
  <c r="E12" i="2"/>
  <c r="F12" i="2"/>
  <c r="G12" i="2"/>
  <c r="H12" i="2"/>
  <c r="I12" i="2"/>
  <c r="B12" i="2"/>
  <c r="C11" i="2"/>
  <c r="D11" i="2"/>
  <c r="E11" i="2"/>
  <c r="F11" i="2"/>
  <c r="G11" i="2"/>
  <c r="H11" i="2"/>
  <c r="I11" i="2"/>
  <c r="B11" i="2"/>
  <c r="C10" i="2"/>
  <c r="D10" i="2"/>
  <c r="E10" i="2"/>
  <c r="F10" i="2"/>
  <c r="G10" i="2"/>
  <c r="H10" i="2"/>
  <c r="I10" i="2"/>
  <c r="B10" i="2"/>
</calcChain>
</file>

<file path=xl/sharedStrings.xml><?xml version="1.0" encoding="utf-8"?>
<sst xmlns="http://schemas.openxmlformats.org/spreadsheetml/2006/main" count="396" uniqueCount="184">
  <si>
    <t>Thuộc tính</t>
  </si>
  <si>
    <t>EPYC 1</t>
  </si>
  <si>
    <t>EPYC 2</t>
  </si>
  <si>
    <t>EPYC 3</t>
  </si>
  <si>
    <t>EPYC 4</t>
  </si>
  <si>
    <t>EPYC 5</t>
  </si>
  <si>
    <t>EPYC 6</t>
  </si>
  <si>
    <t>EPYC 7</t>
  </si>
  <si>
    <t>EPYC 8</t>
  </si>
  <si>
    <t>Số nhân CPU</t>
  </si>
  <si>
    <t>RAM</t>
  </si>
  <si>
    <t>Tốc độ</t>
  </si>
  <si>
    <t>Giá trước giảm
(1 tháng)</t>
  </si>
  <si>
    <t>Giá 3 tháng</t>
  </si>
  <si>
    <t>Giá 6 Tháng</t>
  </si>
  <si>
    <t>Giá 12 tháng</t>
  </si>
  <si>
    <t>Giá 24 tháng</t>
  </si>
  <si>
    <t>Giá 36 tháng</t>
  </si>
  <si>
    <t>Giá 60 tháng</t>
  </si>
  <si>
    <t>1 Core</t>
  </si>
  <si>
    <t>2 Cores</t>
  </si>
  <si>
    <t>3 Cores</t>
  </si>
  <si>
    <t>4 Cores</t>
  </si>
  <si>
    <t>5 Cores</t>
  </si>
  <si>
    <t>7 Cores</t>
  </si>
  <si>
    <t>8 Cores</t>
  </si>
  <si>
    <t>1 GB</t>
  </si>
  <si>
    <t>2 GB</t>
  </si>
  <si>
    <t>3 GB</t>
  </si>
  <si>
    <t>4 GB</t>
  </si>
  <si>
    <t>5 GB</t>
  </si>
  <si>
    <t>6 GB</t>
  </si>
  <si>
    <t>7 GB</t>
  </si>
  <si>
    <t>8 GB</t>
  </si>
  <si>
    <t>10 GB</t>
  </si>
  <si>
    <t>12 GB</t>
  </si>
  <si>
    <t>16 GB</t>
  </si>
  <si>
    <t>20 GB</t>
  </si>
  <si>
    <t>30GB</t>
  </si>
  <si>
    <t>20GB</t>
  </si>
  <si>
    <t>40GB</t>
  </si>
  <si>
    <t>50GB</t>
  </si>
  <si>
    <t>60GB</t>
  </si>
  <si>
    <t>70GB</t>
  </si>
  <si>
    <t>80GB</t>
  </si>
  <si>
    <t>100GB</t>
  </si>
  <si>
    <t>100 Mbps</t>
  </si>
  <si>
    <t>150 Mbps</t>
  </si>
  <si>
    <t>200 Mbps</t>
  </si>
  <si>
    <t>1. VPS ADM</t>
  </si>
  <si>
    <t>2. VPS VM</t>
  </si>
  <si>
    <t>SSD
(Dung lượng)</t>
  </si>
  <si>
    <t>BẢNG GIÁ VPS ( Chưa bao gồm VAT)</t>
  </si>
  <si>
    <t>CP bổ sung: ( chỉ tăng)</t>
  </si>
  <si>
    <t>10GB: 50K</t>
  </si>
  <si>
    <t>Dung lượng</t>
  </si>
  <si>
    <t>CPU</t>
  </si>
  <si>
    <t>IP</t>
  </si>
  <si>
    <t>100K</t>
  </si>
  <si>
    <t>150K</t>
  </si>
  <si>
    <t>80K</t>
  </si>
  <si>
    <t>VM01</t>
  </si>
  <si>
    <t>VM02</t>
  </si>
  <si>
    <t>VM03</t>
  </si>
  <si>
    <t>VM04</t>
  </si>
  <si>
    <t>VM05</t>
  </si>
  <si>
    <t>VM06</t>
  </si>
  <si>
    <t>VM07</t>
  </si>
  <si>
    <t>VM08</t>
  </si>
  <si>
    <t>Giá gốc
(1 tháng)</t>
  </si>
  <si>
    <t>Giá 6 Tháng
(-5%)</t>
  </si>
  <si>
    <t>Giá 12 tháng
(-15%)</t>
  </si>
  <si>
    <t>Giá 24 tháng
(-25%)</t>
  </si>
  <si>
    <t>Giá 36 tháng
(-35%)</t>
  </si>
  <si>
    <t>Giá 60 tháng
(-45%)</t>
  </si>
  <si>
    <t>10GB: 100K</t>
  </si>
  <si>
    <t>75K</t>
  </si>
  <si>
    <t>105K</t>
  </si>
  <si>
    <t>3. VPS MMO- Giá rẻ</t>
  </si>
  <si>
    <t>IPv4</t>
  </si>
  <si>
    <t>IPv6</t>
  </si>
  <si>
    <t>Giá 1 tháng</t>
  </si>
  <si>
    <t>Giá 6 tháng</t>
  </si>
  <si>
    <t>1 Cores</t>
  </si>
  <si>
    <t>25GB</t>
  </si>
  <si>
    <t>MMO1</t>
  </si>
  <si>
    <t>MMO2</t>
  </si>
  <si>
    <t>MMO3</t>
  </si>
  <si>
    <t>MMO4</t>
  </si>
  <si>
    <t>MMO5</t>
  </si>
  <si>
    <t>MMO6</t>
  </si>
  <si>
    <t>MMO7</t>
  </si>
  <si>
    <t>MMO8</t>
  </si>
  <si>
    <t>1 IPv4 VN</t>
  </si>
  <si>
    <t>IPv6/56</t>
  </si>
  <si>
    <t>BẢNG GIÁ HOSTING ( Chưa bao gồm VAT)</t>
  </si>
  <si>
    <t>1. Platium web hosting</t>
  </si>
  <si>
    <t>BKCP01</t>
  </si>
  <si>
    <t>BKCP02</t>
  </si>
  <si>
    <t>BKCP03</t>
  </si>
  <si>
    <t>BKCP04</t>
  </si>
  <si>
    <t>BKCP03+</t>
  </si>
  <si>
    <t>BKCP05</t>
  </si>
  <si>
    <t>BKCP04+</t>
  </si>
  <si>
    <t>BKCP05+</t>
  </si>
  <si>
    <t>NVMe U.2
Storage</t>
  </si>
  <si>
    <t>Domain</t>
  </si>
  <si>
    <t>Giá tháng</t>
  </si>
  <si>
    <t>15 GB</t>
  </si>
  <si>
    <t>25 GB</t>
  </si>
  <si>
    <t>30 GB</t>
  </si>
  <si>
    <t>1 năm giảm 5%</t>
  </si>
  <si>
    <t>2 năm giảm 20%</t>
  </si>
  <si>
    <t>3 năm giảm 30%</t>
  </si>
  <si>
    <t>4 năm giảm 40%</t>
  </si>
  <si>
    <t>2. Hosting Wordpress</t>
  </si>
  <si>
    <t>WPCP01</t>
  </si>
  <si>
    <t>WPCP02</t>
  </si>
  <si>
    <t>WPCP03</t>
  </si>
  <si>
    <t>WPCP04</t>
  </si>
  <si>
    <t>WPCP05</t>
  </si>
  <si>
    <t>WPCP06</t>
  </si>
  <si>
    <t>WPCP07</t>
  </si>
  <si>
    <t>WPCP08</t>
  </si>
  <si>
    <t>SSD Disk space</t>
  </si>
  <si>
    <t>1.5 GB</t>
  </si>
  <si>
    <t>3. Hosting Windows</t>
  </si>
  <si>
    <t>BKSW01</t>
  </si>
  <si>
    <t>BKSW02</t>
  </si>
  <si>
    <t>BKSW03</t>
  </si>
  <si>
    <t>BKSW03+</t>
  </si>
  <si>
    <t>BKSW04</t>
  </si>
  <si>
    <t>BKSW04+</t>
  </si>
  <si>
    <t>BKSW05</t>
  </si>
  <si>
    <t>BKSW05+</t>
  </si>
  <si>
    <t>SSD Disk Space</t>
  </si>
  <si>
    <t>2.5 GB</t>
  </si>
  <si>
    <t>3.5 GB</t>
  </si>
  <si>
    <t>BẢNG GIÁ EMAIL ( Chưa bao gồm VAT)</t>
  </si>
  <si>
    <t>1.Email Hosting</t>
  </si>
  <si>
    <t>EMAIL 1
42.750đ/ tháng
Số lượng Email: 05
Email trong Forwarders: 05
Dung lượng: 5GB/ email</t>
  </si>
  <si>
    <t>EMAIL 2
85.500đ/ tháng
Số lượng Email: 20
Email trong Forwarders: 10
Dung lượng: 5GB/ email</t>
  </si>
  <si>
    <t>EMAIL 3
166.250đ/ tháng
Số lượng Email: 50
Email trong Forwarders: 40
Dung lượng: 5GB/ email</t>
  </si>
  <si>
    <t>EMAIL 4
285.000đ/ tháng
Số lượng Email: 100
Email trong Forwarders: 100
Dung lượng: 5GB/ email</t>
  </si>
  <si>
    <t>2. Email Server</t>
  </si>
  <si>
    <t>MINI EMAIL 1
Dung lượng: 100GB</t>
  </si>
  <si>
    <t>MINI EMAIL 2
Dung lượng: 150GB</t>
  </si>
  <si>
    <t>MINI EMAIL 3
Dung lượng: 200GB</t>
  </si>
  <si>
    <t>MINI EMAIL 4
Dung lượng: 255GB</t>
  </si>
  <si>
    <t>06 tháng giảm 5%</t>
  </si>
  <si>
    <t>1 năm giảm 15%</t>
  </si>
  <si>
    <t>2 năm giảm 25%</t>
  </si>
  <si>
    <t>3 năm giảm 35%</t>
  </si>
  <si>
    <t>ES 1
Dung lượng: 300GB</t>
  </si>
  <si>
    <t>ES 2
Dung lượng: 500GB</t>
  </si>
  <si>
    <t>ES 3
Dung lượng: 1000GB</t>
  </si>
  <si>
    <t>ES 4
Dung lượng: 2000GB</t>
  </si>
  <si>
    <t>3. Email Relay</t>
  </si>
  <si>
    <t>BK-RELAY 01</t>
  </si>
  <si>
    <t>BK-RELAY 02</t>
  </si>
  <si>
    <t>BK-RELAY 03</t>
  </si>
  <si>
    <t>BK-RELAY 04</t>
  </si>
  <si>
    <t>Số lượng mail/ ngày</t>
  </si>
  <si>
    <t>2 năm (-20%)</t>
  </si>
  <si>
    <t>3 năm (-30%)</t>
  </si>
  <si>
    <t>1 năm (-5%)</t>
  </si>
  <si>
    <t>10GB: 20K/ tháng</t>
  </si>
  <si>
    <t>30K/ tháng</t>
  </si>
  <si>
    <t>50K/ tháng</t>
  </si>
  <si>
    <t>Giá 1 năm (-5%)</t>
  </si>
  <si>
    <t>Giá 2 năm (-20%)</t>
  </si>
  <si>
    <t>Giá 3 năm (-30%)</t>
  </si>
  <si>
    <t>Giá 4 năm (-40%)</t>
  </si>
  <si>
    <t xml:space="preserve">Giá 1 năm </t>
  </si>
  <si>
    <t>Giá 2 năm (-16%)</t>
  </si>
  <si>
    <t>Giá 3 năm (-26%)</t>
  </si>
  <si>
    <t>1 tháng</t>
  </si>
  <si>
    <t>1 năm</t>
  </si>
  <si>
    <t>2 năm</t>
  </si>
  <si>
    <t xml:space="preserve">3 năm </t>
  </si>
  <si>
    <t>4 năm</t>
  </si>
  <si>
    <t>6 tháng</t>
  </si>
  <si>
    <t>3 năm</t>
  </si>
  <si>
    <t>Bảng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</si>
</sst>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3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7" fontId="2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7" fillId="0" borderId="0" xfId="0" applyFont="1"/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3" fontId="2" fillId="0" borderId="1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topLeftCell="A37" zoomScale="130" zoomScaleNormal="130" workbookViewId="0">
      <selection activeCell="H53" sqref="H53"/>
    </sheetView>
  </sheetViews>
  <sheetFormatPr defaultRowHeight="16.399999999999999" x14ac:dyDescent="0.25"/>
  <cols>
    <col min="1" max="1" width="17.85546875" style="6" customWidth="1"/>
    <col min="2" max="9" width="15.7109375" style="1" customWidth="1"/>
    <col min="10" max="10" width="9.140625" style="1"/>
    <col min="11" max="11" width="15.28515625" style="1" customWidth="1"/>
    <col min="12" max="12" width="19" style="1" customWidth="1"/>
    <col min="13" max="16384" width="9.140625" style="1"/>
  </cols>
  <sheetData>
    <row r="1" spans="1:13" ht="22.1" x14ac:dyDescent="0.3">
      <c r="A1" s="26" t="s">
        <v>52</v>
      </c>
      <c r="B1" s="26"/>
      <c r="C1" s="26"/>
      <c r="D1" s="26"/>
      <c r="E1" s="26"/>
      <c r="F1" s="26"/>
      <c r="G1" s="26"/>
      <c r="H1" s="26"/>
      <c r="I1" s="26"/>
    </row>
    <row r="2" spans="1:13" ht="25.5" customHeight="1" x14ac:dyDescent="0.3">
      <c r="A2" s="24" t="s">
        <v>49</v>
      </c>
      <c r="B2" s="25"/>
      <c r="C2" s="25"/>
      <c r="D2" s="2"/>
    </row>
    <row r="3" spans="1:13" s="8" customFormat="1" ht="20.350000000000001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K3" s="27" t="s">
        <v>53</v>
      </c>
      <c r="L3" s="27"/>
      <c r="M3" s="13"/>
    </row>
    <row r="4" spans="1:13" s="4" customFormat="1" ht="21.05" customHeight="1" x14ac:dyDescent="0.25">
      <c r="A4" s="5" t="s">
        <v>9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23</v>
      </c>
      <c r="H4" s="3" t="s">
        <v>24</v>
      </c>
      <c r="I4" s="3" t="s">
        <v>25</v>
      </c>
      <c r="K4" s="5" t="s">
        <v>55</v>
      </c>
      <c r="L4" s="5" t="s">
        <v>54</v>
      </c>
    </row>
    <row r="5" spans="1:13" s="4" customFormat="1" ht="18.75" customHeight="1" x14ac:dyDescent="0.25">
      <c r="A5" s="5" t="s">
        <v>10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31</v>
      </c>
      <c r="G5" s="3" t="s">
        <v>33</v>
      </c>
      <c r="H5" s="3" t="s">
        <v>35</v>
      </c>
      <c r="I5" s="3" t="s">
        <v>36</v>
      </c>
      <c r="K5" s="5" t="s">
        <v>10</v>
      </c>
      <c r="L5" s="5" t="s">
        <v>58</v>
      </c>
    </row>
    <row r="6" spans="1:13" s="6" customFormat="1" ht="35.299999999999997" customHeight="1" x14ac:dyDescent="0.25">
      <c r="A6" s="9" t="s">
        <v>51</v>
      </c>
      <c r="B6" s="5" t="s">
        <v>39</v>
      </c>
      <c r="C6" s="5" t="s">
        <v>38</v>
      </c>
      <c r="D6" s="5" t="s">
        <v>40</v>
      </c>
      <c r="E6" s="5" t="s">
        <v>41</v>
      </c>
      <c r="F6" s="5" t="s">
        <v>42</v>
      </c>
      <c r="G6" s="5" t="s">
        <v>43</v>
      </c>
      <c r="H6" s="5" t="s">
        <v>44</v>
      </c>
      <c r="I6" s="5" t="s">
        <v>45</v>
      </c>
      <c r="K6" s="5" t="s">
        <v>56</v>
      </c>
      <c r="L6" s="5" t="s">
        <v>59</v>
      </c>
    </row>
    <row r="7" spans="1:13" s="6" customFormat="1" ht="18.75" customHeight="1" x14ac:dyDescent="0.25">
      <c r="A7" s="5" t="s">
        <v>11</v>
      </c>
      <c r="B7" s="5" t="s">
        <v>46</v>
      </c>
      <c r="C7" s="5" t="s">
        <v>46</v>
      </c>
      <c r="D7" s="5" t="s">
        <v>47</v>
      </c>
      <c r="E7" s="5" t="s">
        <v>47</v>
      </c>
      <c r="F7" s="5" t="s">
        <v>48</v>
      </c>
      <c r="G7" s="5" t="s">
        <v>48</v>
      </c>
      <c r="H7" s="5" t="s">
        <v>48</v>
      </c>
      <c r="I7" s="5" t="s">
        <v>48</v>
      </c>
      <c r="K7" s="5" t="s">
        <v>57</v>
      </c>
      <c r="L7" s="5" t="s">
        <v>60</v>
      </c>
    </row>
    <row r="8" spans="1:13" s="6" customFormat="1" ht="32.799999999999997" x14ac:dyDescent="0.25">
      <c r="A8" s="9" t="s">
        <v>12</v>
      </c>
      <c r="B8" s="10">
        <v>165000</v>
      </c>
      <c r="C8" s="10">
        <v>210000</v>
      </c>
      <c r="D8" s="10">
        <v>320000</v>
      </c>
      <c r="E8" s="10">
        <v>480000</v>
      </c>
      <c r="F8" s="10">
        <v>710000</v>
      </c>
      <c r="G8" s="10">
        <v>870000</v>
      </c>
      <c r="H8" s="10">
        <v>1200000</v>
      </c>
      <c r="I8" s="10">
        <v>1800000</v>
      </c>
    </row>
    <row r="9" spans="1:13" s="6" customFormat="1" ht="18.75" customHeight="1" x14ac:dyDescent="0.25">
      <c r="A9" s="5" t="s">
        <v>13</v>
      </c>
      <c r="B9" s="10">
        <v>495000</v>
      </c>
      <c r="C9" s="10">
        <v>630000</v>
      </c>
      <c r="D9" s="10">
        <v>960000</v>
      </c>
      <c r="E9" s="10">
        <v>1440000</v>
      </c>
      <c r="F9" s="10">
        <v>2130000</v>
      </c>
      <c r="G9" s="10">
        <v>2610000</v>
      </c>
      <c r="H9" s="10">
        <v>3600000</v>
      </c>
      <c r="I9" s="10">
        <v>5400000</v>
      </c>
    </row>
    <row r="10" spans="1:13" s="6" customFormat="1" ht="18.75" customHeight="1" x14ac:dyDescent="0.25">
      <c r="A10" s="5" t="s">
        <v>14</v>
      </c>
      <c r="B10" s="10">
        <v>940500</v>
      </c>
      <c r="C10" s="10">
        <v>1197000</v>
      </c>
      <c r="D10" s="10">
        <v>1824000</v>
      </c>
      <c r="E10" s="10">
        <v>2736000</v>
      </c>
      <c r="F10" s="10">
        <v>4047000</v>
      </c>
      <c r="G10" s="10">
        <v>4959000</v>
      </c>
      <c r="H10" s="10">
        <v>6840000</v>
      </c>
      <c r="I10" s="10">
        <v>10260000</v>
      </c>
    </row>
    <row r="11" spans="1:13" s="6" customFormat="1" ht="18.75" customHeight="1" x14ac:dyDescent="0.25">
      <c r="A11" s="5" t="s">
        <v>15</v>
      </c>
      <c r="B11" s="10">
        <v>1683000</v>
      </c>
      <c r="C11" s="10">
        <v>2142000</v>
      </c>
      <c r="D11" s="10">
        <v>3264000</v>
      </c>
      <c r="E11" s="10">
        <v>4896000</v>
      </c>
      <c r="F11" s="10">
        <v>7242000</v>
      </c>
      <c r="G11" s="10">
        <v>8874000</v>
      </c>
      <c r="H11" s="10">
        <v>12240000</v>
      </c>
      <c r="I11" s="10">
        <v>18360000</v>
      </c>
    </row>
    <row r="12" spans="1:13" s="6" customFormat="1" ht="18.75" customHeight="1" x14ac:dyDescent="0.25">
      <c r="A12" s="5" t="s">
        <v>16</v>
      </c>
      <c r="B12" s="10">
        <v>2970000</v>
      </c>
      <c r="C12" s="10">
        <v>3780000</v>
      </c>
      <c r="D12" s="10">
        <v>5760000</v>
      </c>
      <c r="E12" s="10">
        <v>8640000</v>
      </c>
      <c r="F12" s="10">
        <v>12780000</v>
      </c>
      <c r="G12" s="10">
        <v>15660000</v>
      </c>
      <c r="H12" s="10">
        <v>21600000</v>
      </c>
      <c r="I12" s="10">
        <v>32400000</v>
      </c>
    </row>
    <row r="13" spans="1:13" s="6" customFormat="1" ht="18.75" customHeight="1" x14ac:dyDescent="0.25">
      <c r="A13" s="5" t="s">
        <v>17</v>
      </c>
      <c r="B13" s="10">
        <v>3861000</v>
      </c>
      <c r="C13" s="10">
        <v>4914000</v>
      </c>
      <c r="D13" s="10">
        <v>7488000</v>
      </c>
      <c r="E13" s="10">
        <v>11232000</v>
      </c>
      <c r="F13" s="10">
        <v>16614000</v>
      </c>
      <c r="G13" s="10">
        <v>20358000</v>
      </c>
      <c r="H13" s="10">
        <v>28080000</v>
      </c>
      <c r="I13" s="10">
        <v>42120000</v>
      </c>
    </row>
    <row r="14" spans="1:13" s="6" customFormat="1" ht="18.75" customHeight="1" x14ac:dyDescent="0.25">
      <c r="A14" s="5" t="s">
        <v>18</v>
      </c>
      <c r="B14" s="10">
        <v>5445000</v>
      </c>
      <c r="C14" s="10">
        <v>6930000</v>
      </c>
      <c r="D14" s="10">
        <v>10560000</v>
      </c>
      <c r="E14" s="10">
        <v>15840000</v>
      </c>
      <c r="F14" s="10">
        <v>23430000</v>
      </c>
      <c r="G14" s="10">
        <v>28710000</v>
      </c>
      <c r="H14" s="10">
        <v>39600000</v>
      </c>
      <c r="I14" s="10">
        <v>59400000</v>
      </c>
    </row>
    <row r="16" spans="1:13" ht="24.8" customHeight="1" x14ac:dyDescent="0.3">
      <c r="A16" s="11" t="s">
        <v>50</v>
      </c>
      <c r="B16" s="12"/>
      <c r="C16" s="12"/>
    </row>
    <row r="17" spans="1:12" s="4" customFormat="1" x14ac:dyDescent="0.25">
      <c r="A17" s="7" t="s">
        <v>0</v>
      </c>
      <c r="B17" s="14" t="s">
        <v>61</v>
      </c>
      <c r="C17" s="14" t="s">
        <v>62</v>
      </c>
      <c r="D17" s="14" t="s">
        <v>63</v>
      </c>
      <c r="E17" s="14" t="s">
        <v>64</v>
      </c>
      <c r="F17" s="14" t="s">
        <v>65</v>
      </c>
      <c r="G17" s="14" t="s">
        <v>66</v>
      </c>
      <c r="H17" s="14" t="s">
        <v>67</v>
      </c>
      <c r="I17" s="14" t="s">
        <v>68</v>
      </c>
      <c r="K17" s="27" t="s">
        <v>53</v>
      </c>
      <c r="L17" s="27"/>
    </row>
    <row r="18" spans="1:12" s="4" customFormat="1" ht="18" customHeight="1" x14ac:dyDescent="0.25">
      <c r="A18" s="5" t="s">
        <v>9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22</v>
      </c>
      <c r="G18" s="3" t="s">
        <v>23</v>
      </c>
      <c r="H18" s="3" t="s">
        <v>24</v>
      </c>
      <c r="I18" s="3" t="s">
        <v>25</v>
      </c>
      <c r="K18" s="5" t="s">
        <v>55</v>
      </c>
      <c r="L18" s="5" t="s">
        <v>75</v>
      </c>
    </row>
    <row r="19" spans="1:12" s="4" customFormat="1" ht="20.350000000000001" customHeight="1" x14ac:dyDescent="0.25">
      <c r="A19" s="5" t="s">
        <v>10</v>
      </c>
      <c r="B19" s="3" t="s">
        <v>26</v>
      </c>
      <c r="C19" s="3" t="s">
        <v>27</v>
      </c>
      <c r="D19" s="3" t="s">
        <v>28</v>
      </c>
      <c r="E19" s="3" t="s">
        <v>29</v>
      </c>
      <c r="F19" s="3" t="s">
        <v>31</v>
      </c>
      <c r="G19" s="3" t="s">
        <v>33</v>
      </c>
      <c r="H19" s="3" t="s">
        <v>35</v>
      </c>
      <c r="I19" s="3" t="s">
        <v>36</v>
      </c>
      <c r="K19" s="5" t="s">
        <v>10</v>
      </c>
      <c r="L19" s="5" t="s">
        <v>76</v>
      </c>
    </row>
    <row r="20" spans="1:12" s="4" customFormat="1" ht="32.799999999999997" x14ac:dyDescent="0.25">
      <c r="A20" s="9" t="s">
        <v>51</v>
      </c>
      <c r="B20" s="5" t="s">
        <v>39</v>
      </c>
      <c r="C20" s="5" t="s">
        <v>38</v>
      </c>
      <c r="D20" s="5" t="s">
        <v>40</v>
      </c>
      <c r="E20" s="5" t="s">
        <v>41</v>
      </c>
      <c r="F20" s="5" t="s">
        <v>42</v>
      </c>
      <c r="G20" s="5" t="s">
        <v>43</v>
      </c>
      <c r="H20" s="5" t="s">
        <v>44</v>
      </c>
      <c r="I20" s="5" t="s">
        <v>45</v>
      </c>
      <c r="K20" s="5" t="s">
        <v>56</v>
      </c>
      <c r="L20" s="5" t="s">
        <v>77</v>
      </c>
    </row>
    <row r="21" spans="1:12" s="4" customFormat="1" ht="19.45" customHeight="1" x14ac:dyDescent="0.25">
      <c r="A21" s="5" t="s">
        <v>11</v>
      </c>
      <c r="B21" s="5" t="s">
        <v>46</v>
      </c>
      <c r="C21" s="5" t="s">
        <v>46</v>
      </c>
      <c r="D21" s="5" t="s">
        <v>47</v>
      </c>
      <c r="E21" s="5" t="s">
        <v>47</v>
      </c>
      <c r="F21" s="5" t="s">
        <v>48</v>
      </c>
      <c r="G21" s="5" t="s">
        <v>48</v>
      </c>
      <c r="H21" s="5" t="s">
        <v>48</v>
      </c>
      <c r="I21" s="5" t="s">
        <v>48</v>
      </c>
      <c r="K21" s="5" t="s">
        <v>57</v>
      </c>
      <c r="L21" s="5" t="s">
        <v>60</v>
      </c>
    </row>
    <row r="22" spans="1:12" s="4" customFormat="1" ht="32.799999999999997" x14ac:dyDescent="0.25">
      <c r="A22" s="9" t="s">
        <v>69</v>
      </c>
      <c r="B22" s="10">
        <v>140000</v>
      </c>
      <c r="C22" s="10">
        <v>180000</v>
      </c>
      <c r="D22" s="10">
        <v>220000</v>
      </c>
      <c r="E22" s="10">
        <v>340000</v>
      </c>
      <c r="F22" s="10">
        <v>500000</v>
      </c>
      <c r="G22" s="10">
        <v>610000</v>
      </c>
      <c r="H22" s="10">
        <v>840000</v>
      </c>
      <c r="I22" s="10">
        <v>1260000</v>
      </c>
    </row>
    <row r="23" spans="1:12" s="4" customFormat="1" ht="21.05" customHeight="1" x14ac:dyDescent="0.25">
      <c r="A23" s="5" t="s">
        <v>13</v>
      </c>
      <c r="B23" s="10">
        <v>420000</v>
      </c>
      <c r="C23" s="10">
        <v>540000</v>
      </c>
      <c r="D23" s="10">
        <v>660000</v>
      </c>
      <c r="E23" s="10">
        <v>1020000</v>
      </c>
      <c r="F23" s="10">
        <v>1500000</v>
      </c>
      <c r="G23" s="10">
        <v>1830000</v>
      </c>
      <c r="H23" s="10">
        <v>2520000</v>
      </c>
      <c r="I23" s="10">
        <v>3780000</v>
      </c>
    </row>
    <row r="24" spans="1:12" s="4" customFormat="1" ht="35.299999999999997" customHeight="1" x14ac:dyDescent="0.25">
      <c r="A24" s="9" t="s">
        <v>70</v>
      </c>
      <c r="B24" s="10">
        <v>798000</v>
      </c>
      <c r="C24" s="10">
        <v>1026000</v>
      </c>
      <c r="D24" s="10">
        <v>1254000</v>
      </c>
      <c r="E24" s="10">
        <v>1938000</v>
      </c>
      <c r="F24" s="10">
        <v>2850000</v>
      </c>
      <c r="G24" s="10">
        <v>3477000</v>
      </c>
      <c r="H24" s="10">
        <v>4788000</v>
      </c>
      <c r="I24" s="10">
        <v>7182000</v>
      </c>
    </row>
    <row r="25" spans="1:12" s="4" customFormat="1" ht="35.299999999999997" customHeight="1" x14ac:dyDescent="0.25">
      <c r="A25" s="9" t="s">
        <v>71</v>
      </c>
      <c r="B25" s="10">
        <v>1428000</v>
      </c>
      <c r="C25" s="10">
        <v>1836000</v>
      </c>
      <c r="D25" s="10">
        <v>2244000</v>
      </c>
      <c r="E25" s="10">
        <v>3468000</v>
      </c>
      <c r="F25" s="10">
        <v>5100000</v>
      </c>
      <c r="G25" s="10">
        <v>6222000</v>
      </c>
      <c r="H25" s="10">
        <v>8568000</v>
      </c>
      <c r="I25" s="10">
        <v>12852000</v>
      </c>
    </row>
    <row r="26" spans="1:12" s="4" customFormat="1" ht="35.299999999999997" customHeight="1" x14ac:dyDescent="0.25">
      <c r="A26" s="9" t="s">
        <v>72</v>
      </c>
      <c r="B26" s="10">
        <v>2520000</v>
      </c>
      <c r="C26" s="10">
        <v>3240000</v>
      </c>
      <c r="D26" s="10">
        <v>3960000</v>
      </c>
      <c r="E26" s="10">
        <v>6120000</v>
      </c>
      <c r="F26" s="10">
        <v>9000000</v>
      </c>
      <c r="G26" s="10">
        <v>10980000</v>
      </c>
      <c r="H26" s="10">
        <v>15120000</v>
      </c>
      <c r="I26" s="10">
        <v>22680000</v>
      </c>
    </row>
    <row r="27" spans="1:12" s="4" customFormat="1" ht="35.299999999999997" customHeight="1" x14ac:dyDescent="0.25">
      <c r="A27" s="9" t="s">
        <v>73</v>
      </c>
      <c r="B27" s="10">
        <v>3276000</v>
      </c>
      <c r="C27" s="10">
        <v>4212000</v>
      </c>
      <c r="D27" s="10">
        <v>5148000</v>
      </c>
      <c r="E27" s="10">
        <v>7956000</v>
      </c>
      <c r="F27" s="10">
        <v>11700000</v>
      </c>
      <c r="G27" s="10">
        <v>14274000</v>
      </c>
      <c r="H27" s="10">
        <v>19656000</v>
      </c>
      <c r="I27" s="10">
        <v>29484000</v>
      </c>
    </row>
    <row r="28" spans="1:12" s="4" customFormat="1" ht="35.299999999999997" customHeight="1" x14ac:dyDescent="0.25">
      <c r="A28" s="9" t="s">
        <v>74</v>
      </c>
      <c r="B28" s="10">
        <v>4620000</v>
      </c>
      <c r="C28" s="10">
        <v>5940000</v>
      </c>
      <c r="D28" s="10">
        <v>7260000</v>
      </c>
      <c r="E28" s="10">
        <v>11220000</v>
      </c>
      <c r="F28" s="10">
        <v>16500000</v>
      </c>
      <c r="G28" s="10">
        <v>20130000</v>
      </c>
      <c r="H28" s="10">
        <v>27720000</v>
      </c>
      <c r="I28" s="10">
        <v>41580000</v>
      </c>
    </row>
    <row r="30" spans="1:12" ht="22.45" customHeight="1" x14ac:dyDescent="0.3">
      <c r="A30" s="11" t="s">
        <v>78</v>
      </c>
      <c r="B30" s="12"/>
      <c r="C30" s="12"/>
    </row>
    <row r="31" spans="1:12" x14ac:dyDescent="0.25">
      <c r="A31" s="7" t="s">
        <v>0</v>
      </c>
      <c r="B31" s="14" t="s">
        <v>85</v>
      </c>
      <c r="C31" s="14" t="s">
        <v>86</v>
      </c>
      <c r="D31" s="14" t="s">
        <v>87</v>
      </c>
      <c r="E31" s="14" t="s">
        <v>88</v>
      </c>
      <c r="F31" s="14" t="s">
        <v>89</v>
      </c>
      <c r="G31" s="14" t="s">
        <v>90</v>
      </c>
      <c r="H31" s="14" t="s">
        <v>91</v>
      </c>
      <c r="I31" s="14" t="s">
        <v>92</v>
      </c>
      <c r="K31" s="27" t="s">
        <v>53</v>
      </c>
      <c r="L31" s="27"/>
    </row>
    <row r="32" spans="1:12" ht="20.350000000000001" customHeight="1" x14ac:dyDescent="0.25">
      <c r="A32" s="5" t="s">
        <v>9</v>
      </c>
      <c r="B32" s="3" t="s">
        <v>19</v>
      </c>
      <c r="C32" s="3" t="s">
        <v>83</v>
      </c>
      <c r="D32" s="3" t="s">
        <v>20</v>
      </c>
      <c r="E32" s="3" t="s">
        <v>20</v>
      </c>
      <c r="F32" s="3" t="s">
        <v>22</v>
      </c>
      <c r="G32" s="3" t="s">
        <v>22</v>
      </c>
      <c r="H32" s="3" t="s">
        <v>25</v>
      </c>
      <c r="I32" s="3" t="s">
        <v>25</v>
      </c>
      <c r="K32" s="5" t="s">
        <v>55</v>
      </c>
      <c r="L32" s="5" t="s">
        <v>166</v>
      </c>
    </row>
    <row r="33" spans="1:12" x14ac:dyDescent="0.25">
      <c r="A33" s="5" t="s">
        <v>10</v>
      </c>
      <c r="B33" s="3" t="s">
        <v>26</v>
      </c>
      <c r="C33" s="3" t="s">
        <v>27</v>
      </c>
      <c r="D33" s="3" t="s">
        <v>27</v>
      </c>
      <c r="E33" s="3" t="s">
        <v>29</v>
      </c>
      <c r="F33" s="3" t="s">
        <v>29</v>
      </c>
      <c r="G33" s="3" t="s">
        <v>33</v>
      </c>
      <c r="H33" s="3" t="s">
        <v>33</v>
      </c>
      <c r="I33" s="3" t="s">
        <v>36</v>
      </c>
      <c r="K33" s="5" t="s">
        <v>10</v>
      </c>
      <c r="L33" s="5" t="s">
        <v>167</v>
      </c>
    </row>
    <row r="34" spans="1:12" ht="32.799999999999997" x14ac:dyDescent="0.25">
      <c r="A34" s="9" t="s">
        <v>51</v>
      </c>
      <c r="B34" s="5" t="s">
        <v>39</v>
      </c>
      <c r="C34" s="5" t="s">
        <v>84</v>
      </c>
      <c r="D34" s="5" t="s">
        <v>38</v>
      </c>
      <c r="E34" s="5" t="s">
        <v>40</v>
      </c>
      <c r="F34" s="5" t="s">
        <v>41</v>
      </c>
      <c r="G34" s="5" t="s">
        <v>42</v>
      </c>
      <c r="H34" s="5" t="s">
        <v>44</v>
      </c>
      <c r="I34" s="5" t="s">
        <v>45</v>
      </c>
      <c r="K34" s="5" t="s">
        <v>56</v>
      </c>
      <c r="L34" s="5" t="s">
        <v>168</v>
      </c>
    </row>
    <row r="35" spans="1:12" x14ac:dyDescent="0.25">
      <c r="A35" s="9" t="s">
        <v>79</v>
      </c>
      <c r="B35" s="10" t="s">
        <v>93</v>
      </c>
      <c r="C35" s="10" t="s">
        <v>93</v>
      </c>
      <c r="D35" s="10" t="s">
        <v>93</v>
      </c>
      <c r="E35" s="10" t="s">
        <v>93</v>
      </c>
      <c r="F35" s="10" t="s">
        <v>93</v>
      </c>
      <c r="G35" s="10" t="s">
        <v>93</v>
      </c>
      <c r="H35" s="10" t="s">
        <v>93</v>
      </c>
      <c r="I35" s="10" t="s">
        <v>93</v>
      </c>
      <c r="K35" s="6"/>
      <c r="L35" s="6"/>
    </row>
    <row r="36" spans="1:12" x14ac:dyDescent="0.25">
      <c r="A36" s="9" t="s">
        <v>80</v>
      </c>
      <c r="B36" s="10" t="s">
        <v>94</v>
      </c>
      <c r="C36" s="10" t="s">
        <v>94</v>
      </c>
      <c r="D36" s="10" t="s">
        <v>94</v>
      </c>
      <c r="E36" s="10" t="s">
        <v>94</v>
      </c>
      <c r="F36" s="10" t="s">
        <v>94</v>
      </c>
      <c r="G36" s="10" t="s">
        <v>94</v>
      </c>
      <c r="H36" s="10" t="s">
        <v>94</v>
      </c>
      <c r="I36" s="10" t="s">
        <v>94</v>
      </c>
    </row>
    <row r="37" spans="1:12" x14ac:dyDescent="0.25">
      <c r="A37" s="9" t="s">
        <v>81</v>
      </c>
      <c r="B37" s="10">
        <v>90000</v>
      </c>
      <c r="C37" s="10">
        <v>120000</v>
      </c>
      <c r="D37" s="10">
        <v>140000</v>
      </c>
      <c r="E37" s="10">
        <v>210000</v>
      </c>
      <c r="F37" s="10">
        <v>310000</v>
      </c>
      <c r="G37" s="10">
        <v>400000</v>
      </c>
      <c r="H37" s="10">
        <v>580000</v>
      </c>
      <c r="I37" s="10">
        <v>780000</v>
      </c>
    </row>
    <row r="38" spans="1:12" x14ac:dyDescent="0.25">
      <c r="A38" s="9" t="s">
        <v>13</v>
      </c>
      <c r="B38" s="10">
        <v>260000</v>
      </c>
      <c r="C38" s="10">
        <v>350000</v>
      </c>
      <c r="D38" s="10">
        <v>410000</v>
      </c>
      <c r="E38" s="10">
        <v>560000</v>
      </c>
      <c r="F38" s="10">
        <v>830000</v>
      </c>
      <c r="G38" s="10">
        <v>1070000</v>
      </c>
      <c r="H38" s="10">
        <v>1580000</v>
      </c>
      <c r="I38" s="10">
        <v>2100000</v>
      </c>
    </row>
    <row r="39" spans="1:12" x14ac:dyDescent="0.25">
      <c r="A39" s="9" t="s">
        <v>82</v>
      </c>
      <c r="B39" s="10">
        <v>500000</v>
      </c>
      <c r="C39" s="10">
        <v>680000</v>
      </c>
      <c r="D39" s="10">
        <v>770000</v>
      </c>
      <c r="E39" s="10">
        <v>1060000</v>
      </c>
      <c r="F39" s="10">
        <v>1560000</v>
      </c>
      <c r="G39" s="10">
        <v>2020000</v>
      </c>
      <c r="H39" s="10">
        <v>2980000</v>
      </c>
      <c r="I39" s="10">
        <v>3980000</v>
      </c>
    </row>
    <row r="40" spans="1:12" x14ac:dyDescent="0.25">
      <c r="A40" s="9" t="s">
        <v>15</v>
      </c>
      <c r="B40" s="10">
        <v>900000</v>
      </c>
      <c r="C40" s="10">
        <v>1260000</v>
      </c>
      <c r="D40" s="10">
        <v>1440000</v>
      </c>
      <c r="E40" s="10">
        <v>2010000</v>
      </c>
      <c r="F40" s="10">
        <v>2930000</v>
      </c>
      <c r="G40" s="10">
        <v>3800000</v>
      </c>
      <c r="H40" s="10">
        <v>5610000</v>
      </c>
      <c r="I40" s="10">
        <v>7490000</v>
      </c>
    </row>
    <row r="42" spans="1:12" x14ac:dyDescent="0.25">
      <c r="A42" s="37" t="s">
        <v>183</v>
      </c>
    </row>
    <row r="43" spans="1:12" x14ac:dyDescent="0.25">
      <c r="A43" s="7" t="s">
        <v>0</v>
      </c>
      <c r="B43" s="14" t="s">
        <v>85</v>
      </c>
      <c r="C43" s="14" t="s">
        <v>86</v>
      </c>
      <c r="D43" s="14" t="s">
        <v>87</v>
      </c>
      <c r="E43" s="14" t="s">
        <v>88</v>
      </c>
      <c r="F43" s="14" t="s">
        <v>89</v>
      </c>
      <c r="G43" s="14" t="s">
        <v>90</v>
      </c>
      <c r="H43" s="14" t="s">
        <v>91</v>
      </c>
      <c r="I43" s="14" t="s">
        <v>92</v>
      </c>
    </row>
    <row r="44" spans="1:12" x14ac:dyDescent="0.25">
      <c r="A44" s="5" t="s">
        <v>9</v>
      </c>
      <c r="B44" s="3" t="s">
        <v>19</v>
      </c>
      <c r="C44" s="3" t="s">
        <v>83</v>
      </c>
      <c r="D44" s="3" t="s">
        <v>20</v>
      </c>
      <c r="E44" s="3" t="s">
        <v>20</v>
      </c>
      <c r="F44" s="3" t="s">
        <v>22</v>
      </c>
      <c r="G44" s="3" t="s">
        <v>22</v>
      </c>
      <c r="H44" s="3" t="s">
        <v>25</v>
      </c>
      <c r="I44" s="3" t="s">
        <v>25</v>
      </c>
    </row>
    <row r="45" spans="1:12" x14ac:dyDescent="0.25">
      <c r="A45" s="5" t="s">
        <v>10</v>
      </c>
      <c r="B45" s="3" t="s">
        <v>26</v>
      </c>
      <c r="C45" s="3" t="s">
        <v>27</v>
      </c>
      <c r="D45" s="3" t="s">
        <v>27</v>
      </c>
      <c r="E45" s="3" t="s">
        <v>29</v>
      </c>
      <c r="F45" s="3" t="s">
        <v>29</v>
      </c>
      <c r="G45" s="3" t="s">
        <v>33</v>
      </c>
      <c r="H45" s="3" t="s">
        <v>33</v>
      </c>
      <c r="I45" s="3" t="s">
        <v>36</v>
      </c>
    </row>
    <row r="46" spans="1:12" ht="32.799999999999997" x14ac:dyDescent="0.25">
      <c r="A46" s="9" t="s">
        <v>51</v>
      </c>
      <c r="B46" s="5" t="s">
        <v>39</v>
      </c>
      <c r="C46" s="5" t="s">
        <v>84</v>
      </c>
      <c r="D46" s="5" t="s">
        <v>38</v>
      </c>
      <c r="E46" s="5" t="s">
        <v>40</v>
      </c>
      <c r="F46" s="5" t="s">
        <v>41</v>
      </c>
      <c r="G46" s="5" t="s">
        <v>42</v>
      </c>
      <c r="H46" s="5" t="s">
        <v>44</v>
      </c>
      <c r="I46" s="5" t="s">
        <v>45</v>
      </c>
    </row>
    <row r="47" spans="1:12" x14ac:dyDescent="0.25">
      <c r="A47" s="9" t="s">
        <v>79</v>
      </c>
      <c r="B47" s="10" t="s">
        <v>93</v>
      </c>
      <c r="C47" s="10" t="s">
        <v>93</v>
      </c>
      <c r="D47" s="10" t="s">
        <v>93</v>
      </c>
      <c r="E47" s="10" t="s">
        <v>93</v>
      </c>
      <c r="F47" s="10" t="s">
        <v>93</v>
      </c>
      <c r="G47" s="10" t="s">
        <v>93</v>
      </c>
      <c r="H47" s="10" t="s">
        <v>93</v>
      </c>
      <c r="I47" s="10" t="s">
        <v>93</v>
      </c>
    </row>
    <row r="48" spans="1:12" x14ac:dyDescent="0.25">
      <c r="A48" s="9" t="s">
        <v>80</v>
      </c>
      <c r="B48" s="10" t="s">
        <v>94</v>
      </c>
      <c r="C48" s="10" t="s">
        <v>94</v>
      </c>
      <c r="D48" s="10" t="s">
        <v>94</v>
      </c>
      <c r="E48" s="10" t="s">
        <v>94</v>
      </c>
      <c r="F48" s="10" t="s">
        <v>94</v>
      </c>
      <c r="G48" s="10" t="s">
        <v>94</v>
      </c>
      <c r="H48" s="10" t="s">
        <v>94</v>
      </c>
      <c r="I48" s="10" t="s">
        <v>94</v>
      </c>
    </row>
    <row r="49" spans="1:9" x14ac:dyDescent="0.25">
      <c r="A49" s="9" t="s">
        <v>81</v>
      </c>
      <c r="B49" s="10"/>
      <c r="C49" s="10"/>
      <c r="D49" s="10">
        <v>110000</v>
      </c>
      <c r="E49" s="10">
        <v>150000</v>
      </c>
      <c r="F49" s="10">
        <v>190000</v>
      </c>
      <c r="G49" s="10">
        <v>250000</v>
      </c>
      <c r="H49" s="10">
        <v>450000</v>
      </c>
      <c r="I49" s="10">
        <v>550000</v>
      </c>
    </row>
    <row r="50" spans="1:9" x14ac:dyDescent="0.25">
      <c r="A50" s="9" t="s">
        <v>13</v>
      </c>
      <c r="B50" s="10">
        <v>210000</v>
      </c>
      <c r="C50" s="10">
        <v>285000</v>
      </c>
      <c r="D50" s="10">
        <v>300000</v>
      </c>
      <c r="E50" s="10">
        <v>420000</v>
      </c>
      <c r="F50" s="10">
        <v>525000</v>
      </c>
      <c r="G50" s="10">
        <v>705000</v>
      </c>
      <c r="H50" s="10">
        <v>1290000</v>
      </c>
      <c r="I50" s="10">
        <v>1590000</v>
      </c>
    </row>
    <row r="51" spans="1:9" x14ac:dyDescent="0.25">
      <c r="A51" s="9" t="s">
        <v>82</v>
      </c>
      <c r="B51" s="10">
        <v>360000</v>
      </c>
      <c r="C51" s="10">
        <v>510000</v>
      </c>
      <c r="D51" s="10">
        <v>540000</v>
      </c>
      <c r="E51" s="10">
        <v>750000</v>
      </c>
      <c r="F51" s="10">
        <v>960000</v>
      </c>
      <c r="G51" s="10">
        <v>1320000</v>
      </c>
      <c r="H51" s="10">
        <v>2460000</v>
      </c>
      <c r="I51" s="10">
        <v>3060000</v>
      </c>
    </row>
    <row r="52" spans="1:9" x14ac:dyDescent="0.25">
      <c r="A52" s="9" t="s">
        <v>15</v>
      </c>
      <c r="B52" s="10">
        <v>660000</v>
      </c>
      <c r="C52" s="10">
        <v>900000</v>
      </c>
      <c r="D52" s="10">
        <v>960000</v>
      </c>
      <c r="E52" s="10">
        <v>1320000</v>
      </c>
      <c r="F52" s="10">
        <v>1800000</v>
      </c>
      <c r="G52" s="10">
        <v>2520000</v>
      </c>
      <c r="H52" s="10">
        <v>4800000</v>
      </c>
      <c r="I52" s="10">
        <v>6000000</v>
      </c>
    </row>
  </sheetData>
  <mergeCells count="5">
    <mergeCell ref="A2:C2"/>
    <mergeCell ref="A1:I1"/>
    <mergeCell ref="K3:L3"/>
    <mergeCell ref="K17:L17"/>
    <mergeCell ref="K31:L31"/>
  </mergeCells>
  <pageMargins left="0.7" right="0.7" top="0.75" bottom="0.75" header="0.3" footer="0.3"/>
  <pageSetup scale="77" orientation="portrait" r:id="rId1"/>
  <colBreaks count="1" manualBreakCount="1">
    <brk id="5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topLeftCell="A13" zoomScale="130" zoomScaleNormal="130" workbookViewId="0">
      <selection activeCell="B33" sqref="B33"/>
    </sheetView>
  </sheetViews>
  <sheetFormatPr defaultRowHeight="16.399999999999999" x14ac:dyDescent="0.25"/>
  <cols>
    <col min="1" max="1" width="19.42578125" style="1" customWidth="1"/>
    <col min="2" max="9" width="14.28515625" style="1" customWidth="1"/>
    <col min="10" max="16384" width="9.140625" style="1"/>
  </cols>
  <sheetData>
    <row r="1" spans="1:9" s="15" customFormat="1" ht="22.85" x14ac:dyDescent="0.35">
      <c r="A1" s="26" t="s">
        <v>95</v>
      </c>
      <c r="B1" s="26"/>
      <c r="C1" s="26"/>
      <c r="D1" s="26"/>
      <c r="E1" s="26"/>
      <c r="F1" s="26"/>
      <c r="G1" s="26"/>
      <c r="H1" s="26"/>
      <c r="I1" s="26"/>
    </row>
    <row r="3" spans="1:9" ht="22.45" customHeight="1" x14ac:dyDescent="0.25">
      <c r="A3" s="11" t="s">
        <v>96</v>
      </c>
    </row>
    <row r="4" spans="1:9" s="6" customFormat="1" ht="20.350000000000001" customHeight="1" x14ac:dyDescent="0.25">
      <c r="A4" s="7" t="s">
        <v>0</v>
      </c>
      <c r="B4" s="7" t="s">
        <v>97</v>
      </c>
      <c r="C4" s="7" t="s">
        <v>98</v>
      </c>
      <c r="D4" s="7" t="s">
        <v>99</v>
      </c>
      <c r="E4" s="7" t="s">
        <v>101</v>
      </c>
      <c r="F4" s="7" t="s">
        <v>100</v>
      </c>
      <c r="G4" s="7" t="s">
        <v>103</v>
      </c>
      <c r="H4" s="7" t="s">
        <v>102</v>
      </c>
      <c r="I4" s="7" t="s">
        <v>104</v>
      </c>
    </row>
    <row r="5" spans="1:9" s="6" customFormat="1" ht="19.45" customHeight="1" x14ac:dyDescent="0.25">
      <c r="A5" s="5" t="s">
        <v>9</v>
      </c>
      <c r="B5" s="5" t="s">
        <v>19</v>
      </c>
      <c r="C5" s="5" t="s">
        <v>19</v>
      </c>
      <c r="D5" s="5" t="s">
        <v>20</v>
      </c>
      <c r="E5" s="5" t="s">
        <v>20</v>
      </c>
      <c r="F5" s="5" t="s">
        <v>20</v>
      </c>
      <c r="G5" s="5" t="s">
        <v>20</v>
      </c>
      <c r="H5" s="5" t="s">
        <v>21</v>
      </c>
      <c r="I5" s="5" t="s">
        <v>21</v>
      </c>
    </row>
    <row r="6" spans="1:9" s="6" customFormat="1" ht="19.45" customHeight="1" x14ac:dyDescent="0.25">
      <c r="A6" s="5" t="s">
        <v>10</v>
      </c>
      <c r="B6" s="5" t="s">
        <v>26</v>
      </c>
      <c r="C6" s="5" t="s">
        <v>27</v>
      </c>
      <c r="D6" s="5" t="s">
        <v>27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</row>
    <row r="7" spans="1:9" s="6" customFormat="1" ht="34.6" customHeight="1" x14ac:dyDescent="0.25">
      <c r="A7" s="9" t="s">
        <v>105</v>
      </c>
      <c r="B7" s="5" t="s">
        <v>27</v>
      </c>
      <c r="C7" s="5" t="s">
        <v>30</v>
      </c>
      <c r="D7" s="5" t="s">
        <v>32</v>
      </c>
      <c r="E7" s="5" t="s">
        <v>34</v>
      </c>
      <c r="F7" s="5" t="s">
        <v>108</v>
      </c>
      <c r="G7" s="5" t="s">
        <v>37</v>
      </c>
      <c r="H7" s="5" t="s">
        <v>109</v>
      </c>
      <c r="I7" s="5" t="s">
        <v>110</v>
      </c>
    </row>
    <row r="8" spans="1:9" s="6" customFormat="1" ht="19.45" customHeight="1" x14ac:dyDescent="0.25">
      <c r="A8" s="5" t="s">
        <v>106</v>
      </c>
      <c r="B8" s="5">
        <v>1</v>
      </c>
      <c r="C8" s="5">
        <v>2</v>
      </c>
      <c r="D8" s="5">
        <v>3</v>
      </c>
      <c r="E8" s="5">
        <v>4</v>
      </c>
      <c r="F8" s="5">
        <v>6</v>
      </c>
      <c r="G8" s="5">
        <v>8</v>
      </c>
      <c r="H8" s="5">
        <v>9</v>
      </c>
      <c r="I8" s="5">
        <v>10</v>
      </c>
    </row>
    <row r="9" spans="1:9" s="6" customFormat="1" ht="19.45" customHeight="1" x14ac:dyDescent="0.25">
      <c r="A9" s="5" t="s">
        <v>107</v>
      </c>
      <c r="B9" s="16">
        <v>29000</v>
      </c>
      <c r="C9" s="16">
        <v>50000</v>
      </c>
      <c r="D9" s="16">
        <v>78000</v>
      </c>
      <c r="E9" s="16">
        <v>110000</v>
      </c>
      <c r="F9" s="16">
        <v>145000</v>
      </c>
      <c r="G9" s="16">
        <v>200000</v>
      </c>
      <c r="H9" s="16">
        <v>250000</v>
      </c>
      <c r="I9" s="16">
        <v>290000</v>
      </c>
    </row>
    <row r="10" spans="1:9" s="6" customFormat="1" ht="19.45" customHeight="1" x14ac:dyDescent="0.25">
      <c r="A10" s="5" t="s">
        <v>169</v>
      </c>
      <c r="B10" s="16">
        <f>(B9*12)-(B9*12*5%)</f>
        <v>330600</v>
      </c>
      <c r="C10" s="16">
        <f t="shared" ref="C10:I10" si="0">(C9*12)-(C9*12*5%)</f>
        <v>570000</v>
      </c>
      <c r="D10" s="16">
        <f t="shared" si="0"/>
        <v>889200</v>
      </c>
      <c r="E10" s="16">
        <f t="shared" si="0"/>
        <v>1254000</v>
      </c>
      <c r="F10" s="16">
        <f t="shared" si="0"/>
        <v>1653000</v>
      </c>
      <c r="G10" s="16">
        <f t="shared" si="0"/>
        <v>2280000</v>
      </c>
      <c r="H10" s="16">
        <f t="shared" si="0"/>
        <v>2850000</v>
      </c>
      <c r="I10" s="16">
        <f t="shared" si="0"/>
        <v>3306000</v>
      </c>
    </row>
    <row r="11" spans="1:9" s="6" customFormat="1" ht="19.45" customHeight="1" x14ac:dyDescent="0.25">
      <c r="A11" s="5" t="s">
        <v>170</v>
      </c>
      <c r="B11" s="16">
        <f>(B9*12*2)-(B9*12*2*20%)</f>
        <v>556800</v>
      </c>
      <c r="C11" s="16">
        <f>(C9*12*2)-(C9*12*2*20%)</f>
        <v>960000</v>
      </c>
      <c r="D11" s="16">
        <f t="shared" ref="D11:I11" si="1">(D9*12*2)-(D9*12*2*20%)</f>
        <v>1497600</v>
      </c>
      <c r="E11" s="16">
        <f t="shared" si="1"/>
        <v>2112000</v>
      </c>
      <c r="F11" s="16">
        <f t="shared" si="1"/>
        <v>2784000</v>
      </c>
      <c r="G11" s="16">
        <f t="shared" si="1"/>
        <v>3840000</v>
      </c>
      <c r="H11" s="16">
        <f t="shared" si="1"/>
        <v>4800000</v>
      </c>
      <c r="I11" s="16">
        <f t="shared" si="1"/>
        <v>5568000</v>
      </c>
    </row>
    <row r="12" spans="1:9" s="6" customFormat="1" ht="19.45" customHeight="1" x14ac:dyDescent="0.25">
      <c r="A12" s="5" t="s">
        <v>171</v>
      </c>
      <c r="B12" s="16">
        <f>(B9*12*3)-(B9*12*3*30%)</f>
        <v>730800</v>
      </c>
      <c r="C12" s="16">
        <f t="shared" ref="C12:I12" si="2">(C9*12*3)-(C9*12*3*30%)</f>
        <v>1260000</v>
      </c>
      <c r="D12" s="16">
        <f t="shared" si="2"/>
        <v>1965600</v>
      </c>
      <c r="E12" s="16">
        <f t="shared" si="2"/>
        <v>2772000</v>
      </c>
      <c r="F12" s="16">
        <f t="shared" si="2"/>
        <v>3654000</v>
      </c>
      <c r="G12" s="16">
        <f t="shared" si="2"/>
        <v>5040000</v>
      </c>
      <c r="H12" s="16">
        <f t="shared" si="2"/>
        <v>6300000</v>
      </c>
      <c r="I12" s="16">
        <f t="shared" si="2"/>
        <v>7308000</v>
      </c>
    </row>
    <row r="13" spans="1:9" s="6" customFormat="1" ht="19.45" customHeight="1" x14ac:dyDescent="0.25">
      <c r="A13" s="5" t="s">
        <v>172</v>
      </c>
      <c r="B13" s="16">
        <f>(B9*12*4)-(B9*12*4*40%)</f>
        <v>835200</v>
      </c>
      <c r="C13" s="16">
        <f t="shared" ref="C13:I13" si="3">(C9*12*4)-(C9*12*4*40%)</f>
        <v>1440000</v>
      </c>
      <c r="D13" s="16">
        <f t="shared" si="3"/>
        <v>2246400</v>
      </c>
      <c r="E13" s="16">
        <f t="shared" si="3"/>
        <v>3168000</v>
      </c>
      <c r="F13" s="16">
        <f t="shared" si="3"/>
        <v>4176000</v>
      </c>
      <c r="G13" s="16">
        <f t="shared" si="3"/>
        <v>5760000</v>
      </c>
      <c r="H13" s="16">
        <f t="shared" si="3"/>
        <v>7200000</v>
      </c>
      <c r="I13" s="16">
        <f t="shared" si="3"/>
        <v>8352000</v>
      </c>
    </row>
    <row r="15" spans="1:9" ht="23.2" customHeight="1" x14ac:dyDescent="0.25">
      <c r="A15" s="11" t="s">
        <v>115</v>
      </c>
    </row>
    <row r="16" spans="1:9" s="6" customFormat="1" ht="21.75" customHeight="1" x14ac:dyDescent="0.25">
      <c r="A16" s="7" t="s">
        <v>0</v>
      </c>
      <c r="B16" s="7" t="s">
        <v>116</v>
      </c>
      <c r="C16" s="7" t="s">
        <v>117</v>
      </c>
      <c r="D16" s="7" t="s">
        <v>118</v>
      </c>
      <c r="E16" s="7" t="s">
        <v>119</v>
      </c>
      <c r="F16" s="7" t="s">
        <v>120</v>
      </c>
      <c r="G16" s="7" t="s">
        <v>121</v>
      </c>
      <c r="H16" s="7" t="s">
        <v>122</v>
      </c>
      <c r="I16" s="7" t="s">
        <v>123</v>
      </c>
    </row>
    <row r="17" spans="1:9" s="6" customFormat="1" ht="23.2" customHeight="1" x14ac:dyDescent="0.25">
      <c r="A17" s="5" t="s">
        <v>124</v>
      </c>
      <c r="B17" s="5" t="s">
        <v>26</v>
      </c>
      <c r="C17" s="5" t="s">
        <v>125</v>
      </c>
      <c r="D17" s="5" t="s">
        <v>27</v>
      </c>
      <c r="E17" s="5" t="s">
        <v>28</v>
      </c>
      <c r="F17" s="5" t="s">
        <v>30</v>
      </c>
      <c r="G17" s="5" t="s">
        <v>33</v>
      </c>
      <c r="H17" s="5" t="s">
        <v>108</v>
      </c>
      <c r="I17" s="5" t="s">
        <v>110</v>
      </c>
    </row>
    <row r="18" spans="1:9" s="6" customFormat="1" ht="19.45" customHeight="1" x14ac:dyDescent="0.25">
      <c r="A18" s="5" t="s">
        <v>106</v>
      </c>
      <c r="B18" s="5">
        <v>2</v>
      </c>
      <c r="C18" s="5">
        <v>3</v>
      </c>
      <c r="D18" s="5">
        <v>4</v>
      </c>
      <c r="E18" s="5">
        <v>5</v>
      </c>
      <c r="F18" s="5">
        <v>6</v>
      </c>
      <c r="G18" s="5">
        <v>8</v>
      </c>
      <c r="H18" s="5">
        <v>10</v>
      </c>
      <c r="I18" s="5">
        <v>15</v>
      </c>
    </row>
    <row r="19" spans="1:9" s="6" customFormat="1" ht="25.5" customHeight="1" x14ac:dyDescent="0.25">
      <c r="A19" s="9" t="s">
        <v>107</v>
      </c>
      <c r="B19" s="16">
        <v>50000</v>
      </c>
      <c r="C19" s="16">
        <v>78000</v>
      </c>
      <c r="D19" s="16">
        <v>110000</v>
      </c>
      <c r="E19" s="16">
        <v>145000</v>
      </c>
      <c r="F19" s="16">
        <v>200000</v>
      </c>
      <c r="G19" s="16">
        <v>250000</v>
      </c>
      <c r="H19" s="16">
        <v>390000</v>
      </c>
      <c r="I19" s="16">
        <v>500000</v>
      </c>
    </row>
    <row r="20" spans="1:9" s="6" customFormat="1" ht="19.45" customHeight="1" x14ac:dyDescent="0.25">
      <c r="A20" s="5" t="s">
        <v>169</v>
      </c>
      <c r="B20" s="16">
        <f>(B19*12)-(B19*12*5%)</f>
        <v>570000</v>
      </c>
      <c r="C20" s="16">
        <f t="shared" ref="C20" si="4">(C19*12)-(C19*12*5%)</f>
        <v>889200</v>
      </c>
      <c r="D20" s="16">
        <f t="shared" ref="D20" si="5">(D19*12)-(D19*12*5%)</f>
        <v>1254000</v>
      </c>
      <c r="E20" s="16">
        <f t="shared" ref="E20" si="6">(E19*12)-(E19*12*5%)</f>
        <v>1653000</v>
      </c>
      <c r="F20" s="16">
        <f t="shared" ref="F20" si="7">(F19*12)-(F19*12*5%)</f>
        <v>2280000</v>
      </c>
      <c r="G20" s="16">
        <f t="shared" ref="G20" si="8">(G19*12)-(G19*12*5%)</f>
        <v>2850000</v>
      </c>
      <c r="H20" s="16">
        <f t="shared" ref="H20" si="9">(H19*12)-(H19*12*5%)</f>
        <v>4446000</v>
      </c>
      <c r="I20" s="16">
        <f t="shared" ref="I20" si="10">(I19*12)-(I19*12*5%)</f>
        <v>5700000</v>
      </c>
    </row>
    <row r="21" spans="1:9" s="6" customFormat="1" ht="19.45" customHeight="1" x14ac:dyDescent="0.25">
      <c r="A21" s="5" t="s">
        <v>170</v>
      </c>
      <c r="B21" s="16">
        <f>(B19*12*2)-(B19*12*2*20%)</f>
        <v>960000</v>
      </c>
      <c r="C21" s="16">
        <f>(C19*12*2)-(C19*12*2*20%)</f>
        <v>1497600</v>
      </c>
      <c r="D21" s="16">
        <f t="shared" ref="D21:I21" si="11">(D19*12*2)-(D19*12*2*20%)</f>
        <v>2112000</v>
      </c>
      <c r="E21" s="16">
        <f t="shared" si="11"/>
        <v>2784000</v>
      </c>
      <c r="F21" s="16">
        <f t="shared" si="11"/>
        <v>3840000</v>
      </c>
      <c r="G21" s="16">
        <f t="shared" si="11"/>
        <v>4800000</v>
      </c>
      <c r="H21" s="16">
        <f t="shared" si="11"/>
        <v>7488000</v>
      </c>
      <c r="I21" s="16">
        <f t="shared" si="11"/>
        <v>9600000</v>
      </c>
    </row>
    <row r="22" spans="1:9" s="6" customFormat="1" ht="19.45" customHeight="1" x14ac:dyDescent="0.25">
      <c r="A22" s="5" t="s">
        <v>171</v>
      </c>
      <c r="B22" s="16">
        <f>(B19*12*3)-(B19*12*3*30%)</f>
        <v>1260000</v>
      </c>
      <c r="C22" s="16">
        <f t="shared" ref="C22:I22" si="12">(C19*12*3)-(C19*12*3*30%)</f>
        <v>1965600</v>
      </c>
      <c r="D22" s="16">
        <f t="shared" si="12"/>
        <v>2772000</v>
      </c>
      <c r="E22" s="16">
        <f t="shared" si="12"/>
        <v>3654000</v>
      </c>
      <c r="F22" s="16">
        <f t="shared" si="12"/>
        <v>5040000</v>
      </c>
      <c r="G22" s="16">
        <f t="shared" si="12"/>
        <v>6300000</v>
      </c>
      <c r="H22" s="16">
        <f t="shared" si="12"/>
        <v>9828000</v>
      </c>
      <c r="I22" s="16">
        <f t="shared" si="12"/>
        <v>12600000</v>
      </c>
    </row>
    <row r="23" spans="1:9" s="6" customFormat="1" ht="19.45" customHeight="1" x14ac:dyDescent="0.25">
      <c r="A23" s="5" t="s">
        <v>172</v>
      </c>
      <c r="B23" s="16">
        <f>(B19*12*4)-(B19*12*4*40%)</f>
        <v>1440000</v>
      </c>
      <c r="C23" s="16">
        <f t="shared" ref="C23:I23" si="13">(C19*12*4)-(C19*12*4*40%)</f>
        <v>2246400</v>
      </c>
      <c r="D23" s="16">
        <f t="shared" si="13"/>
        <v>3168000</v>
      </c>
      <c r="E23" s="16">
        <f t="shared" si="13"/>
        <v>4176000</v>
      </c>
      <c r="F23" s="16">
        <f t="shared" si="13"/>
        <v>5760000</v>
      </c>
      <c r="G23" s="16">
        <f t="shared" si="13"/>
        <v>7200000</v>
      </c>
      <c r="H23" s="16">
        <f t="shared" si="13"/>
        <v>11232000</v>
      </c>
      <c r="I23" s="16">
        <f t="shared" si="13"/>
        <v>14400000</v>
      </c>
    </row>
    <row r="25" spans="1:9" ht="22.45" customHeight="1" x14ac:dyDescent="0.25">
      <c r="A25" s="11" t="s">
        <v>126</v>
      </c>
    </row>
    <row r="26" spans="1:9" ht="20.350000000000001" customHeight="1" x14ac:dyDescent="0.25">
      <c r="A26" s="7" t="s">
        <v>0</v>
      </c>
      <c r="B26" s="7" t="s">
        <v>127</v>
      </c>
      <c r="C26" s="7" t="s">
        <v>128</v>
      </c>
      <c r="D26" s="7" t="s">
        <v>129</v>
      </c>
      <c r="E26" s="7" t="s">
        <v>130</v>
      </c>
      <c r="F26" s="7" t="s">
        <v>131</v>
      </c>
      <c r="G26" s="7" t="s">
        <v>132</v>
      </c>
      <c r="H26" s="7" t="s">
        <v>133</v>
      </c>
      <c r="I26" s="7" t="s">
        <v>134</v>
      </c>
    </row>
    <row r="27" spans="1:9" ht="22.45" customHeight="1" x14ac:dyDescent="0.25">
      <c r="A27" s="5" t="s">
        <v>135</v>
      </c>
      <c r="B27" s="5" t="s">
        <v>26</v>
      </c>
      <c r="C27" s="5" t="s">
        <v>125</v>
      </c>
      <c r="D27" s="5" t="s">
        <v>136</v>
      </c>
      <c r="E27" s="5" t="s">
        <v>137</v>
      </c>
      <c r="F27" s="5" t="s">
        <v>30</v>
      </c>
      <c r="G27" s="5" t="s">
        <v>32</v>
      </c>
      <c r="H27" s="5" t="s">
        <v>34</v>
      </c>
      <c r="I27" s="5" t="s">
        <v>108</v>
      </c>
    </row>
    <row r="28" spans="1:9" ht="22.45" customHeight="1" x14ac:dyDescent="0.25">
      <c r="A28" s="5" t="s">
        <v>106</v>
      </c>
      <c r="B28" s="5">
        <v>1</v>
      </c>
      <c r="C28" s="5">
        <v>2</v>
      </c>
      <c r="D28" s="5">
        <v>3</v>
      </c>
      <c r="E28" s="5">
        <v>5</v>
      </c>
      <c r="F28" s="5">
        <v>7</v>
      </c>
      <c r="G28" s="5">
        <v>9</v>
      </c>
      <c r="H28" s="5">
        <v>12</v>
      </c>
      <c r="I28" s="5">
        <v>15</v>
      </c>
    </row>
    <row r="29" spans="1:9" ht="22.45" customHeight="1" x14ac:dyDescent="0.25">
      <c r="A29" s="9" t="s">
        <v>107</v>
      </c>
      <c r="B29" s="16">
        <v>33000</v>
      </c>
      <c r="C29" s="16">
        <v>60000</v>
      </c>
      <c r="D29" s="16">
        <v>85000</v>
      </c>
      <c r="E29" s="16">
        <v>135000</v>
      </c>
      <c r="F29" s="16">
        <v>165000</v>
      </c>
      <c r="G29" s="16">
        <v>210000</v>
      </c>
      <c r="H29" s="16">
        <v>250000</v>
      </c>
      <c r="I29" s="16">
        <v>390000</v>
      </c>
    </row>
    <row r="30" spans="1:9" s="6" customFormat="1" ht="19.45" customHeight="1" x14ac:dyDescent="0.25">
      <c r="A30" s="5" t="s">
        <v>173</v>
      </c>
      <c r="B30" s="16">
        <f>(B29*12)</f>
        <v>396000</v>
      </c>
      <c r="C30" s="16">
        <f t="shared" ref="C30:I30" si="14">(C29*12)</f>
        <v>720000</v>
      </c>
      <c r="D30" s="16">
        <f t="shared" si="14"/>
        <v>1020000</v>
      </c>
      <c r="E30" s="16">
        <f t="shared" si="14"/>
        <v>1620000</v>
      </c>
      <c r="F30" s="16">
        <f t="shared" si="14"/>
        <v>1980000</v>
      </c>
      <c r="G30" s="16">
        <f t="shared" si="14"/>
        <v>2520000</v>
      </c>
      <c r="H30" s="16">
        <f t="shared" si="14"/>
        <v>3000000</v>
      </c>
      <c r="I30" s="16">
        <f t="shared" si="14"/>
        <v>4680000</v>
      </c>
    </row>
    <row r="31" spans="1:9" s="6" customFormat="1" ht="19.45" customHeight="1" x14ac:dyDescent="0.25">
      <c r="A31" s="5" t="s">
        <v>174</v>
      </c>
      <c r="B31" s="16">
        <f>(B29*12*2)-(B29*12*2*16%)</f>
        <v>665280</v>
      </c>
      <c r="C31" s="16">
        <f>(C29*12*2)-(C29*12*2*16%)</f>
        <v>1209600</v>
      </c>
      <c r="D31" s="16">
        <f t="shared" ref="D31:I31" si="15">(D29*12*2)-(D29*12*2*16%)</f>
        <v>1713600</v>
      </c>
      <c r="E31" s="16">
        <f t="shared" si="15"/>
        <v>2721600</v>
      </c>
      <c r="F31" s="16">
        <f t="shared" si="15"/>
        <v>3326400</v>
      </c>
      <c r="G31" s="16">
        <f t="shared" si="15"/>
        <v>4233600</v>
      </c>
      <c r="H31" s="16">
        <f t="shared" si="15"/>
        <v>5040000</v>
      </c>
      <c r="I31" s="16">
        <f t="shared" si="15"/>
        <v>7862400</v>
      </c>
    </row>
    <row r="32" spans="1:9" s="6" customFormat="1" ht="19.45" customHeight="1" x14ac:dyDescent="0.25">
      <c r="A32" s="5" t="s">
        <v>175</v>
      </c>
      <c r="B32" s="16">
        <f>(B29*12*3)-(B29*12*3*26%)</f>
        <v>879120</v>
      </c>
      <c r="C32" s="16">
        <f t="shared" ref="C32:I32" si="16">(C29*12*3)-(C29*12*3*26%)</f>
        <v>1598400</v>
      </c>
      <c r="D32" s="16">
        <f t="shared" si="16"/>
        <v>2264400</v>
      </c>
      <c r="E32" s="16">
        <f t="shared" si="16"/>
        <v>3596400</v>
      </c>
      <c r="F32" s="16">
        <f t="shared" si="16"/>
        <v>4395600</v>
      </c>
      <c r="G32" s="16">
        <f t="shared" si="16"/>
        <v>5594400</v>
      </c>
      <c r="H32" s="16">
        <f t="shared" si="16"/>
        <v>6660000</v>
      </c>
      <c r="I32" s="16">
        <f t="shared" si="16"/>
        <v>10389600</v>
      </c>
    </row>
  </sheetData>
  <mergeCells count="1">
    <mergeCell ref="A1:I1"/>
  </mergeCells>
  <pageMargins left="0.7" right="0.7" top="0.75" bottom="0.75" header="0.3" footer="0.3"/>
  <pageSetup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view="pageLayout" topLeftCell="A22" zoomScaleNormal="130" workbookViewId="0">
      <selection activeCell="B42" sqref="B42"/>
    </sheetView>
  </sheetViews>
  <sheetFormatPr defaultRowHeight="16.399999999999999" x14ac:dyDescent="0.25"/>
  <cols>
    <col min="1" max="1" width="13.140625" style="1" customWidth="1"/>
    <col min="2" max="2" width="32" style="1" customWidth="1"/>
    <col min="3" max="3" width="32.7109375" style="1" customWidth="1"/>
    <col min="4" max="5" width="31" style="1" customWidth="1"/>
    <col min="6" max="6" width="27.5703125" style="1" customWidth="1"/>
    <col min="7" max="16384" width="9.140625" style="1"/>
  </cols>
  <sheetData>
    <row r="1" spans="1:5" s="15" customFormat="1" ht="22.85" x14ac:dyDescent="0.35">
      <c r="B1" s="26" t="s">
        <v>138</v>
      </c>
      <c r="C1" s="26"/>
      <c r="D1" s="26"/>
      <c r="E1" s="26"/>
    </row>
    <row r="3" spans="1:5" ht="22.45" customHeight="1" x14ac:dyDescent="0.25">
      <c r="A3" s="22"/>
      <c r="B3" s="11" t="s">
        <v>139</v>
      </c>
    </row>
    <row r="4" spans="1:5" s="18" customFormat="1" ht="87.7" customHeight="1" x14ac:dyDescent="0.25">
      <c r="A4" s="23"/>
      <c r="B4" s="21" t="s">
        <v>140</v>
      </c>
      <c r="C4" s="17" t="s">
        <v>141</v>
      </c>
      <c r="D4" s="17" t="s">
        <v>142</v>
      </c>
      <c r="E4" s="17" t="s">
        <v>143</v>
      </c>
    </row>
    <row r="5" spans="1:5" s="18" customFormat="1" ht="23.2" customHeight="1" x14ac:dyDescent="0.25">
      <c r="A5" s="5" t="s">
        <v>176</v>
      </c>
      <c r="B5" s="16">
        <v>45000</v>
      </c>
      <c r="C5" s="16">
        <v>90000</v>
      </c>
      <c r="D5" s="16">
        <v>175000</v>
      </c>
      <c r="E5" s="16">
        <v>300000</v>
      </c>
    </row>
    <row r="6" spans="1:5" s="6" customFormat="1" ht="19.45" customHeight="1" x14ac:dyDescent="0.25">
      <c r="A6" s="5" t="s">
        <v>177</v>
      </c>
      <c r="B6" s="20">
        <f>(B5*12)-(B5*12*5%)</f>
        <v>513000</v>
      </c>
      <c r="C6" s="20">
        <f t="shared" ref="C6:E6" si="0">(C5*12)-(C5*12*5%)</f>
        <v>1026000</v>
      </c>
      <c r="D6" s="20">
        <f t="shared" si="0"/>
        <v>1995000</v>
      </c>
      <c r="E6" s="20">
        <f t="shared" si="0"/>
        <v>3420000</v>
      </c>
    </row>
    <row r="7" spans="1:5" s="6" customFormat="1" ht="19.45" customHeight="1" x14ac:dyDescent="0.25">
      <c r="A7" s="5" t="s">
        <v>178</v>
      </c>
      <c r="B7" s="20">
        <f>(B5*12*2)-(B5*12*2*20%)</f>
        <v>864000</v>
      </c>
      <c r="C7" s="20">
        <f t="shared" ref="C7:E7" si="1">(C5*12*2)-(C5*12*2*20%)</f>
        <v>1728000</v>
      </c>
      <c r="D7" s="20">
        <f t="shared" si="1"/>
        <v>3360000</v>
      </c>
      <c r="E7" s="20">
        <f t="shared" si="1"/>
        <v>5760000</v>
      </c>
    </row>
    <row r="8" spans="1:5" s="6" customFormat="1" ht="19.45" customHeight="1" x14ac:dyDescent="0.25">
      <c r="A8" s="5" t="s">
        <v>179</v>
      </c>
      <c r="B8" s="20">
        <f>(B5*12*3)-(B5*12*3*30%)</f>
        <v>1134000</v>
      </c>
      <c r="C8" s="20">
        <f t="shared" ref="C8:E8" si="2">(C5*12*3)-(C5*12*3*30%)</f>
        <v>2268000</v>
      </c>
      <c r="D8" s="20">
        <f t="shared" si="2"/>
        <v>4410000</v>
      </c>
      <c r="E8" s="20">
        <f t="shared" si="2"/>
        <v>7560000</v>
      </c>
    </row>
    <row r="9" spans="1:5" s="6" customFormat="1" ht="19.45" customHeight="1" x14ac:dyDescent="0.25">
      <c r="A9" s="5" t="s">
        <v>180</v>
      </c>
      <c r="B9" s="20">
        <f>(B5*12*4)-(B5*12*4*40%)</f>
        <v>1296000</v>
      </c>
      <c r="C9" s="20">
        <f t="shared" ref="C9:E9" si="3">(C5*12*4)-(C5*12*4*40%)</f>
        <v>2592000</v>
      </c>
      <c r="D9" s="20">
        <f t="shared" si="3"/>
        <v>5040000</v>
      </c>
      <c r="E9" s="20">
        <f t="shared" si="3"/>
        <v>8640000</v>
      </c>
    </row>
    <row r="10" spans="1:5" s="6" customFormat="1" ht="20.350000000000001" customHeight="1" x14ac:dyDescent="0.25">
      <c r="A10" s="5"/>
      <c r="B10" s="28" t="s">
        <v>111</v>
      </c>
      <c r="C10" s="28"/>
      <c r="D10" s="28"/>
      <c r="E10" s="29"/>
    </row>
    <row r="11" spans="1:5" s="6" customFormat="1" ht="20.350000000000001" customHeight="1" x14ac:dyDescent="0.25">
      <c r="A11" s="5"/>
      <c r="B11" s="30" t="s">
        <v>112</v>
      </c>
      <c r="C11" s="30"/>
      <c r="D11" s="30"/>
      <c r="E11" s="31"/>
    </row>
    <row r="12" spans="1:5" s="6" customFormat="1" ht="20.350000000000001" customHeight="1" x14ac:dyDescent="0.25">
      <c r="A12" s="5"/>
      <c r="B12" s="32" t="s">
        <v>113</v>
      </c>
      <c r="C12" s="32"/>
      <c r="D12" s="32"/>
      <c r="E12" s="33"/>
    </row>
    <row r="13" spans="1:5" s="6" customFormat="1" ht="20.350000000000001" customHeight="1" x14ac:dyDescent="0.25">
      <c r="A13" s="5"/>
      <c r="B13" s="30" t="s">
        <v>114</v>
      </c>
      <c r="C13" s="30"/>
      <c r="D13" s="30"/>
      <c r="E13" s="31"/>
    </row>
    <row r="15" spans="1:5" ht="23.2" customHeight="1" x14ac:dyDescent="0.25">
      <c r="B15" s="11" t="s">
        <v>144</v>
      </c>
    </row>
    <row r="16" spans="1:5" s="18" customFormat="1" ht="48.85" customHeight="1" x14ac:dyDescent="0.25">
      <c r="A16" s="23"/>
      <c r="B16" s="9" t="s">
        <v>145</v>
      </c>
      <c r="C16" s="9" t="s">
        <v>146</v>
      </c>
      <c r="D16" s="9" t="s">
        <v>147</v>
      </c>
      <c r="E16" s="9" t="s">
        <v>148</v>
      </c>
    </row>
    <row r="17" spans="1:5" s="6" customFormat="1" ht="19.45" customHeight="1" x14ac:dyDescent="0.25">
      <c r="A17" s="5" t="s">
        <v>176</v>
      </c>
      <c r="B17" s="16">
        <v>369000</v>
      </c>
      <c r="C17" s="16">
        <v>529000</v>
      </c>
      <c r="D17" s="16">
        <v>654000</v>
      </c>
      <c r="E17" s="16">
        <v>789000</v>
      </c>
    </row>
    <row r="18" spans="1:5" s="6" customFormat="1" ht="19.45" customHeight="1" x14ac:dyDescent="0.25">
      <c r="A18" s="5" t="s">
        <v>181</v>
      </c>
      <c r="B18" s="20">
        <f>(B17*6)-(B17*6*5%)</f>
        <v>2103300</v>
      </c>
      <c r="C18" s="20">
        <f t="shared" ref="C18:E18" si="4">(C17*6)-(C17*6*5%)</f>
        <v>3015300</v>
      </c>
      <c r="D18" s="20">
        <f t="shared" si="4"/>
        <v>3727800</v>
      </c>
      <c r="E18" s="20">
        <f t="shared" si="4"/>
        <v>4497300</v>
      </c>
    </row>
    <row r="19" spans="1:5" s="6" customFormat="1" ht="19.45" customHeight="1" x14ac:dyDescent="0.25">
      <c r="A19" s="5" t="s">
        <v>177</v>
      </c>
      <c r="B19" s="20">
        <f>(B17*12)-(B17*12*15%)</f>
        <v>3763800</v>
      </c>
      <c r="C19" s="20">
        <f t="shared" ref="C19:E19" si="5">(C17*12)-(C17*12*15%)</f>
        <v>5395800</v>
      </c>
      <c r="D19" s="20">
        <f t="shared" si="5"/>
        <v>6670800</v>
      </c>
      <c r="E19" s="20">
        <f t="shared" si="5"/>
        <v>8047800</v>
      </c>
    </row>
    <row r="20" spans="1:5" s="6" customFormat="1" ht="19.45" customHeight="1" x14ac:dyDescent="0.25">
      <c r="A20" s="5" t="s">
        <v>178</v>
      </c>
      <c r="B20" s="20">
        <f>(B17*12*2)-(B17*12*2*25%)</f>
        <v>6642000</v>
      </c>
      <c r="C20" s="20">
        <f t="shared" ref="C20:E20" si="6">(C17*12*2)-(C17*12*2*25%)</f>
        <v>9522000</v>
      </c>
      <c r="D20" s="20">
        <f t="shared" si="6"/>
        <v>11772000</v>
      </c>
      <c r="E20" s="20">
        <f t="shared" si="6"/>
        <v>14202000</v>
      </c>
    </row>
    <row r="21" spans="1:5" s="6" customFormat="1" ht="19.45" customHeight="1" x14ac:dyDescent="0.25">
      <c r="A21" s="5" t="s">
        <v>182</v>
      </c>
      <c r="B21" s="20">
        <f>(B17*12*3)-(B17*12*3*35%)</f>
        <v>8634600</v>
      </c>
      <c r="C21" s="20">
        <f t="shared" ref="C21:E21" si="7">(C17*12*3)-(C17*12*3*35%)</f>
        <v>12378600</v>
      </c>
      <c r="D21" s="20">
        <f t="shared" si="7"/>
        <v>15303600</v>
      </c>
      <c r="E21" s="20">
        <f t="shared" si="7"/>
        <v>18462600</v>
      </c>
    </row>
    <row r="22" spans="1:5" s="6" customFormat="1" ht="20.350000000000001" customHeight="1" x14ac:dyDescent="0.25">
      <c r="A22" s="5"/>
      <c r="B22" s="36" t="s">
        <v>149</v>
      </c>
      <c r="C22" s="28"/>
      <c r="D22" s="28"/>
      <c r="E22" s="29"/>
    </row>
    <row r="23" spans="1:5" s="6" customFormat="1" ht="20.350000000000001" customHeight="1" x14ac:dyDescent="0.25">
      <c r="A23" s="5"/>
      <c r="B23" s="34" t="s">
        <v>150</v>
      </c>
      <c r="C23" s="30"/>
      <c r="D23" s="30"/>
      <c r="E23" s="31"/>
    </row>
    <row r="24" spans="1:5" s="6" customFormat="1" ht="20.350000000000001" customHeight="1" x14ac:dyDescent="0.25">
      <c r="A24" s="5"/>
      <c r="B24" s="35" t="s">
        <v>151</v>
      </c>
      <c r="C24" s="32"/>
      <c r="D24" s="32"/>
      <c r="E24" s="33"/>
    </row>
    <row r="25" spans="1:5" s="6" customFormat="1" ht="20.350000000000001" customHeight="1" x14ac:dyDescent="0.25">
      <c r="A25" s="5"/>
      <c r="B25" s="34" t="s">
        <v>152</v>
      </c>
      <c r="C25" s="30"/>
      <c r="D25" s="30"/>
      <c r="E25" s="31"/>
    </row>
    <row r="27" spans="1:5" ht="17.149999999999999" x14ac:dyDescent="0.25">
      <c r="B27" s="11"/>
    </row>
    <row r="28" spans="1:5" s="6" customFormat="1" ht="48.85" customHeight="1" x14ac:dyDescent="0.25">
      <c r="A28" s="5"/>
      <c r="B28" s="9" t="s">
        <v>153</v>
      </c>
      <c r="C28" s="9" t="s">
        <v>154</v>
      </c>
      <c r="D28" s="9" t="s">
        <v>155</v>
      </c>
      <c r="E28" s="9" t="s">
        <v>156</v>
      </c>
    </row>
    <row r="29" spans="1:5" s="6" customFormat="1" ht="24.8" customHeight="1" x14ac:dyDescent="0.25">
      <c r="A29" s="5" t="s">
        <v>176</v>
      </c>
      <c r="B29" s="16">
        <v>870000</v>
      </c>
      <c r="C29" s="16">
        <v>1500000</v>
      </c>
      <c r="D29" s="16">
        <v>3200000</v>
      </c>
      <c r="E29" s="16">
        <v>4900000</v>
      </c>
    </row>
    <row r="30" spans="1:5" s="6" customFormat="1" ht="24.8" customHeight="1" x14ac:dyDescent="0.25">
      <c r="A30" s="5" t="s">
        <v>181</v>
      </c>
      <c r="B30" s="20">
        <f>(B29*6)-(B29*6*5%)</f>
        <v>4959000</v>
      </c>
      <c r="C30" s="20">
        <f t="shared" ref="C30" si="8">(C29*6)-(C29*6*5%)</f>
        <v>8550000</v>
      </c>
      <c r="D30" s="20">
        <f t="shared" ref="D30" si="9">(D29*6)-(D29*6*5%)</f>
        <v>18240000</v>
      </c>
      <c r="E30" s="20">
        <f t="shared" ref="E30" si="10">(E29*6)-(E29*6*5%)</f>
        <v>27930000</v>
      </c>
    </row>
    <row r="31" spans="1:5" s="6" customFormat="1" ht="24.8" customHeight="1" x14ac:dyDescent="0.25">
      <c r="A31" s="5" t="s">
        <v>177</v>
      </c>
      <c r="B31" s="20">
        <f>(B29*12)-(B29*12*15%)</f>
        <v>8874000</v>
      </c>
      <c r="C31" s="20">
        <f t="shared" ref="C31:E31" si="11">(C29*12)-(C29*12*15%)</f>
        <v>15300000</v>
      </c>
      <c r="D31" s="20">
        <f t="shared" si="11"/>
        <v>32640000</v>
      </c>
      <c r="E31" s="20">
        <f t="shared" si="11"/>
        <v>49980000</v>
      </c>
    </row>
    <row r="32" spans="1:5" s="6" customFormat="1" ht="24.8" customHeight="1" x14ac:dyDescent="0.25">
      <c r="A32" s="5" t="s">
        <v>178</v>
      </c>
      <c r="B32" s="20">
        <f>(B29*12*2)-(B29*12*2*25%)</f>
        <v>15660000</v>
      </c>
      <c r="C32" s="20">
        <f t="shared" ref="C32:E32" si="12">(C29*12*2)-(C29*12*2*25%)</f>
        <v>27000000</v>
      </c>
      <c r="D32" s="20">
        <f t="shared" si="12"/>
        <v>57600000</v>
      </c>
      <c r="E32" s="20">
        <f t="shared" si="12"/>
        <v>88200000</v>
      </c>
    </row>
    <row r="33" spans="1:6" s="6" customFormat="1" ht="24.8" customHeight="1" x14ac:dyDescent="0.25">
      <c r="A33" s="5" t="s">
        <v>182</v>
      </c>
      <c r="B33" s="20">
        <f>(B29*12*3)-(B29*12*3*35%)</f>
        <v>20358000</v>
      </c>
      <c r="C33" s="20">
        <f t="shared" ref="C33:E33" si="13">(C29*12*3)-(C29*12*3*35%)</f>
        <v>35100000</v>
      </c>
      <c r="D33" s="20">
        <f t="shared" si="13"/>
        <v>74880000</v>
      </c>
      <c r="E33" s="20">
        <f t="shared" si="13"/>
        <v>114660000</v>
      </c>
    </row>
    <row r="34" spans="1:6" s="6" customFormat="1" ht="20.350000000000001" customHeight="1" x14ac:dyDescent="0.25">
      <c r="A34" s="5"/>
      <c r="B34" s="36" t="s">
        <v>149</v>
      </c>
      <c r="C34" s="28"/>
      <c r="D34" s="28"/>
      <c r="E34" s="29"/>
    </row>
    <row r="35" spans="1:6" s="6" customFormat="1" ht="20.350000000000001" customHeight="1" x14ac:dyDescent="0.25">
      <c r="A35" s="5"/>
      <c r="B35" s="34" t="s">
        <v>150</v>
      </c>
      <c r="C35" s="30"/>
      <c r="D35" s="30"/>
      <c r="E35" s="31"/>
    </row>
    <row r="36" spans="1:6" s="6" customFormat="1" ht="20.350000000000001" customHeight="1" x14ac:dyDescent="0.25">
      <c r="A36" s="5"/>
      <c r="B36" s="35" t="s">
        <v>151</v>
      </c>
      <c r="C36" s="32"/>
      <c r="D36" s="32"/>
      <c r="E36" s="33"/>
    </row>
    <row r="37" spans="1:6" s="6" customFormat="1" ht="20.350000000000001" customHeight="1" x14ac:dyDescent="0.25">
      <c r="A37" s="5"/>
      <c r="B37" s="34" t="s">
        <v>152</v>
      </c>
      <c r="C37" s="30"/>
      <c r="D37" s="30"/>
      <c r="E37" s="31"/>
    </row>
    <row r="39" spans="1:6" ht="22.45" customHeight="1" x14ac:dyDescent="0.25">
      <c r="B39" s="11" t="s">
        <v>157</v>
      </c>
    </row>
    <row r="40" spans="1:6" s="6" customFormat="1" ht="20.350000000000001" customHeight="1" x14ac:dyDescent="0.25">
      <c r="B40" s="7" t="s">
        <v>0</v>
      </c>
      <c r="C40" s="7" t="s">
        <v>158</v>
      </c>
      <c r="D40" s="7" t="s">
        <v>159</v>
      </c>
      <c r="E40" s="7" t="s">
        <v>160</v>
      </c>
      <c r="F40" s="7" t="s">
        <v>161</v>
      </c>
    </row>
    <row r="41" spans="1:6" s="6" customFormat="1" ht="19.45" customHeight="1" x14ac:dyDescent="0.25">
      <c r="B41" s="5" t="s">
        <v>162</v>
      </c>
      <c r="C41" s="5">
        <v>350</v>
      </c>
      <c r="D41" s="5">
        <v>700</v>
      </c>
      <c r="E41" s="5">
        <v>1500</v>
      </c>
      <c r="F41" s="5">
        <v>30000</v>
      </c>
    </row>
    <row r="42" spans="1:6" s="6" customFormat="1" ht="19.45" customHeight="1" x14ac:dyDescent="0.25">
      <c r="B42" s="5" t="s">
        <v>81</v>
      </c>
      <c r="C42" s="16">
        <v>180000</v>
      </c>
      <c r="D42" s="16">
        <v>290000</v>
      </c>
      <c r="E42" s="16">
        <v>500000</v>
      </c>
      <c r="F42" s="16">
        <v>980000</v>
      </c>
    </row>
    <row r="43" spans="1:6" s="6" customFormat="1" ht="22.45" customHeight="1" x14ac:dyDescent="0.25">
      <c r="B43" s="9" t="s">
        <v>165</v>
      </c>
      <c r="C43" s="16">
        <v>2160000</v>
      </c>
      <c r="D43" s="16">
        <v>3480000</v>
      </c>
      <c r="E43" s="16">
        <v>6000000</v>
      </c>
      <c r="F43" s="16">
        <v>11760000</v>
      </c>
    </row>
    <row r="44" spans="1:6" s="6" customFormat="1" ht="22.45" customHeight="1" x14ac:dyDescent="0.25">
      <c r="B44" s="5" t="s">
        <v>163</v>
      </c>
      <c r="C44" s="16">
        <v>4320000</v>
      </c>
      <c r="D44" s="16">
        <v>6960000</v>
      </c>
      <c r="E44" s="16">
        <v>12000000</v>
      </c>
      <c r="F44" s="16">
        <v>23520000</v>
      </c>
    </row>
    <row r="45" spans="1:6" ht="22.45" customHeight="1" x14ac:dyDescent="0.25">
      <c r="B45" s="5" t="s">
        <v>164</v>
      </c>
      <c r="C45" s="19">
        <v>6480000</v>
      </c>
      <c r="D45" s="19">
        <v>10440000</v>
      </c>
      <c r="E45" s="19">
        <v>18000000</v>
      </c>
      <c r="F45" s="19">
        <v>35280000</v>
      </c>
    </row>
  </sheetData>
  <mergeCells count="13">
    <mergeCell ref="B35:E35"/>
    <mergeCell ref="B36:E36"/>
    <mergeCell ref="B37:E37"/>
    <mergeCell ref="B25:E25"/>
    <mergeCell ref="B22:E22"/>
    <mergeCell ref="B23:E23"/>
    <mergeCell ref="B34:E34"/>
    <mergeCell ref="B24:E24"/>
    <mergeCell ref="B1:E1"/>
    <mergeCell ref="B10:E10"/>
    <mergeCell ref="B11:E11"/>
    <mergeCell ref="B12:E12"/>
    <mergeCell ref="B13:E13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VPS</vt:lpstr>
      <vt:lpstr>Hosting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2025-11-19T07:24:24Z</cp:lastPrinted>
  <dcterms:created xsi:type="dcterms:W3CDTF">2025-11-19T04:01:40Z</dcterms:created>
  <dcterms:modified xsi:type="dcterms:W3CDTF">2026-03-12T07:01:18Z</dcterms:modified>
</cp:coreProperties>
</file>